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38e55ccf5592b91/Documents/ETOGO/"/>
    </mc:Choice>
  </mc:AlternateContent>
  <xr:revisionPtr revIDLastSave="0" documentId="8_{0726A9BB-5FB7-49DF-AF36-585E243A101B}" xr6:coauthVersionLast="47" xr6:coauthVersionMax="47" xr10:uidLastSave="{00000000-0000-0000-0000-000000000000}"/>
  <bookViews>
    <workbookView xWindow="-98" yWindow="-98" windowWidth="21795" windowHeight="13875" activeTab="3" xr2:uid="{00000000-000D-0000-FFFF-FFFF00000000}"/>
  </bookViews>
  <sheets>
    <sheet name="Inputs" sheetId="1" r:id="rId1"/>
    <sheet name="CPI_Scoring" sheetId="2" r:id="rId2"/>
    <sheet name="Calculator" sheetId="3" r:id="rId3"/>
    <sheet name="Lookup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2" l="1"/>
  <c r="B17" i="3"/>
  <c r="B16" i="3"/>
  <c r="B15" i="3"/>
  <c r="B9" i="3"/>
  <c r="B8" i="3"/>
  <c r="B7" i="3"/>
  <c r="B6" i="3"/>
  <c r="B5" i="3"/>
  <c r="B18" i="3" s="1"/>
  <c r="C38" i="2"/>
  <c r="C33" i="2"/>
  <c r="C32" i="2"/>
  <c r="C34" i="2" s="1"/>
  <c r="C31" i="2"/>
  <c r="C30" i="2"/>
  <c r="C26" i="2"/>
  <c r="C21" i="2"/>
  <c r="C20" i="2"/>
  <c r="C19" i="2"/>
  <c r="C22" i="2" s="1"/>
  <c r="C14" i="2"/>
  <c r="C13" i="2"/>
  <c r="C9" i="2"/>
  <c r="C8" i="2"/>
  <c r="C7" i="2"/>
  <c r="C6" i="2"/>
  <c r="C43" i="2" l="1"/>
  <c r="B10" i="3"/>
  <c r="C44" i="2" l="1"/>
  <c r="B12" i="3" s="1"/>
  <c r="B21" i="3" s="1"/>
  <c r="B22" i="3" s="1"/>
  <c r="B11" i="3"/>
</calcChain>
</file>

<file path=xl/sharedStrings.xml><?xml version="1.0" encoding="utf-8"?>
<sst xmlns="http://schemas.openxmlformats.org/spreadsheetml/2006/main" count="197" uniqueCount="150">
  <si>
    <t>Etogo Pricing Calculator (CPI-Embedded)</t>
  </si>
  <si>
    <t>Blue cells are editable inputs. Yellow shading indicates assumptions to review.</t>
  </si>
  <si>
    <t>A. Property &amp; Package Inputs</t>
  </si>
  <si>
    <t>Property Type (Residential / Commercial / Mixed-Use)</t>
  </si>
  <si>
    <t>Residential</t>
  </si>
  <si>
    <t>Enter exactly one of: Residential, Commercial, Mixed-Use</t>
  </si>
  <si>
    <t>Service Package (Essentials / Premium / White-Glove)</t>
  </si>
  <si>
    <t>Essentials</t>
  </si>
  <si>
    <t>Enter exactly one of: Essentials, Premium, White-Glove</t>
  </si>
  <si>
    <t>Residential Unit Count (if applicable)</t>
  </si>
  <si>
    <t>Used for residential size factor tiers</t>
  </si>
  <si>
    <t>Commercial Area (SqFt, if applicable)</t>
  </si>
  <si>
    <t>Used for commercial size factor calculation</t>
  </si>
  <si>
    <t>Mixed-Use Commercial Weight (0–100%)</t>
  </si>
  <si>
    <t>Only used if Property Type = Mixed-Use</t>
  </si>
  <si>
    <t>B. Base Service Pricing (Editable Assumptions)</t>
  </si>
  <si>
    <t>Package</t>
  </si>
  <si>
    <t>Residential Base ($/mo)</t>
  </si>
  <si>
    <t>Commercial Base ($/mo)</t>
  </si>
  <si>
    <t>Premium</t>
  </si>
  <si>
    <t>White-Glove</t>
  </si>
  <si>
    <t>Replace the base prices above with Etogo’s current price book for each package and property type.</t>
  </si>
  <si>
    <t>C. Size / Scale Assumptions (Editable)</t>
  </si>
  <si>
    <t>Residential Unit Tiers (VLOOKUP uses Min Units)</t>
  </si>
  <si>
    <t>Min Units</t>
  </si>
  <si>
    <t>Residential Size Factor</t>
  </si>
  <si>
    <t>Notes</t>
  </si>
  <si>
    <t>1–5 units</t>
  </si>
  <si>
    <t>6–20 units</t>
  </si>
  <si>
    <t>21–50 units</t>
  </si>
  <si>
    <t>51+ units</t>
  </si>
  <si>
    <t>Commercial Size Factor Base (SqFt per 1.0x)</t>
  </si>
  <si>
    <t>SizeFactor = MAX(1, SqFt / this value)</t>
  </si>
  <si>
    <t>Commercial Size Factor Minimum</t>
  </si>
  <si>
    <t>Prevents factor &lt; 1.0 for small spaces</t>
  </si>
  <si>
    <t>Commercial Size Factor Cap (optional; blank = no cap)</t>
  </si>
  <si>
    <t/>
  </si>
  <si>
    <t>If set, SizeFactor = MIN(calculated, cap)</t>
  </si>
  <si>
    <t>CPI_Scoring (Condition, Pressure, Materials, Age, Access, Accessibility, Complexity)</t>
  </si>
  <si>
    <t>Enter selections in blue cells. Scores and CPI outputs are calculated automatically.</t>
  </si>
  <si>
    <t>Domain 1 — System Design &amp; Pressure</t>
  </si>
  <si>
    <t>Factor</t>
  </si>
  <si>
    <t>Input (Blue)</t>
  </si>
  <si>
    <t>Score</t>
  </si>
  <si>
    <t>Unit-level water shut-offs present? (Yes/No)</t>
  </si>
  <si>
    <t>Yes</t>
  </si>
  <si>
    <t>If No, cascade risk across units.</t>
  </si>
  <si>
    <t>Shared risers impacting multiple units? (Yes/No)</t>
  </si>
  <si>
    <t>No</t>
  </si>
  <si>
    <t>Vertical dependency elevates severity.</t>
  </si>
  <si>
    <t>Static water pressure (PSI)</t>
  </si>
  <si>
    <t>Score +2 if &gt;80 PSI.</t>
  </si>
  <si>
    <t>Isolation zones present? (Yes/No)</t>
  </si>
  <si>
    <t>If No, harder containment.</t>
  </si>
  <si>
    <t>Domain 2 — Material Risk (Supply Lines)</t>
  </si>
  <si>
    <t>Primary supply-line material (select from Lookups list)</t>
  </si>
  <si>
    <t>Copper</t>
  </si>
  <si>
    <t>Poly-B automatically drives high CPI.</t>
  </si>
  <si>
    <t>Drain/Waste material unknown? (Yes/No)</t>
  </si>
  <si>
    <t>Optional +1 uncertainty modifier for drains/waste.</t>
  </si>
  <si>
    <t>Domain 3 — Age &amp; Lifecycle (Use higher of Building vs System)</t>
  </si>
  <si>
    <t>Building age (years)</t>
  </si>
  <si>
    <t>Score bracketed by age.</t>
  </si>
  <si>
    <t>Fixture/system age (years)</t>
  </si>
  <si>
    <t>Valves, heaters, pumps, key fixtures.</t>
  </si>
  <si>
    <t>Systems documented? (Yes/No)</t>
  </si>
  <si>
    <t>+1 if No (uncertainty modifier).</t>
  </si>
  <si>
    <t>Age Score (harmonised)</t>
  </si>
  <si>
    <t>Higher of building vs fixtures, plus documentation modifier.</t>
  </si>
  <si>
    <t>Domain 4 — Access &amp; Containment</t>
  </si>
  <si>
    <t>Containment category (use Lookups list)</t>
  </si>
  <si>
    <t>Accessible isolation</t>
  </si>
  <si>
    <t>How quickly damage can be isolated.</t>
  </si>
  <si>
    <t>Domain 5 — Accessibility &amp; Safety (MAX of sub-scores; capped at 4)</t>
  </si>
  <si>
    <t>Crawl/Confined access category (Lookups list)</t>
  </si>
  <si>
    <t>No crawl / full basement</t>
  </si>
  <si>
    <t>Roof access category (Lookups list)</t>
  </si>
  <si>
    <t>Flat/low pitch (&lt;4:12) safe access</t>
  </si>
  <si>
    <t>Equipment requirement (Lookups list)</t>
  </si>
  <si>
    <t>Standard ladder only</t>
  </si>
  <si>
    <t>Time to access critical systems (minutes)</t>
  </si>
  <si>
    <t>Accessibility Score (capped)</t>
  </si>
  <si>
    <t>Takes the worst-case access risk and caps at 4.</t>
  </si>
  <si>
    <t>Domain 6 — Operational Complexity</t>
  </si>
  <si>
    <t>Complexity category (Lookups list)</t>
  </si>
  <si>
    <t>Low density / simple</t>
  </si>
  <si>
    <t>Tenant density, mixed-use, business interruption exposure.</t>
  </si>
  <si>
    <t>CPI Outputs</t>
  </si>
  <si>
    <t>CPI Total Score</t>
  </si>
  <si>
    <t>Calculated</t>
  </si>
  <si>
    <t>CPI Band</t>
  </si>
  <si>
    <t>CPI Multiplier</t>
  </si>
  <si>
    <t>Note: CPI is embedded in the final monthly price (clients see a single monthly figure).</t>
  </si>
  <si>
    <t>Calculator — Final Etogo Monthly Cost</t>
  </si>
  <si>
    <t>This sheet pulls from Inputs and CPI_Scoring to produce the client-facing monthly price.</t>
  </si>
  <si>
    <t>1) Linked Inputs</t>
  </si>
  <si>
    <t>Property Type</t>
  </si>
  <si>
    <t>Service Package</t>
  </si>
  <si>
    <t>Residential Units</t>
  </si>
  <si>
    <t>Commercial SqFt</t>
  </si>
  <si>
    <t>Mixed-Use Weight</t>
  </si>
  <si>
    <t>2) Cost Build-Up (Formulas)</t>
  </si>
  <si>
    <t>Base Service Cost ($/mo)</t>
  </si>
  <si>
    <t>Commercial Size Factor</t>
  </si>
  <si>
    <t>Harmonised Size Factor</t>
  </si>
  <si>
    <t>3) Client-Facing Price</t>
  </si>
  <si>
    <t>Final Monthly Etogo Cost</t>
  </si>
  <si>
    <t>Final Annual Etogo Cost</t>
  </si>
  <si>
    <t>Optional: Use CPI_Scoring to simulate reductions (e.g., add shut-offs, regulate pressure, upgrade Poly-B) and observe price impact.</t>
  </si>
  <si>
    <t>Lookup Tables (Used by CPI_Scoring and Calculator)</t>
  </si>
  <si>
    <t>Do not edit table labels; you may adjust scores/multipliers if Etogo policy changes.</t>
  </si>
  <si>
    <t>CPI Multipliers</t>
  </si>
  <si>
    <t>Age Brackets (Years)</t>
  </si>
  <si>
    <t>Multiplier</t>
  </si>
  <si>
    <t>Min Age</t>
  </si>
  <si>
    <t>CPI-0</t>
  </si>
  <si>
    <t>CPI-1</t>
  </si>
  <si>
    <t>CPI-2</t>
  </si>
  <si>
    <t>CPI-3</t>
  </si>
  <si>
    <t>CPI-4</t>
  </si>
  <si>
    <t>Supply Line Material Scores</t>
  </si>
  <si>
    <t>Access &amp; Containment</t>
  </si>
  <si>
    <t>Material</t>
  </si>
  <si>
    <t>Category</t>
  </si>
  <si>
    <t>PEX</t>
  </si>
  <si>
    <t>Partial isolation</t>
  </si>
  <si>
    <t>CPVC</t>
  </si>
  <si>
    <t>Poor isolation</t>
  </si>
  <si>
    <t>Galvanized</t>
  </si>
  <si>
    <t>No isolation</t>
  </si>
  <si>
    <t>Poly-B</t>
  </si>
  <si>
    <t>Mixed/Unknown</t>
  </si>
  <si>
    <t>Operational Complexity</t>
  </si>
  <si>
    <t>Accessibility: Crawl / Confined</t>
  </si>
  <si>
    <t>Medium density</t>
  </si>
  <si>
    <t>High density</t>
  </si>
  <si>
    <t>Crawl w/ clearance &amp; lighting</t>
  </si>
  <si>
    <t>Business-critical</t>
  </si>
  <si>
    <t>Low-clearance crawl (&lt;3 ft)</t>
  </si>
  <si>
    <t>Damp / poorly ventilated crawl</t>
  </si>
  <si>
    <t>Accessibility: Roof</t>
  </si>
  <si>
    <t>Hazardous crawl (mold/pests/structural)</t>
  </si>
  <si>
    <t>Accessibility: Equipment</t>
  </si>
  <si>
    <t>Moderate pitch (4:12–7:12)</t>
  </si>
  <si>
    <t>Requirement</t>
  </si>
  <si>
    <t>High pitch (&gt;7:12)</t>
  </si>
  <si>
    <t>High pitch + brittle/specialty roofing</t>
  </si>
  <si>
    <t>Extended ladder / roof anchors</t>
  </si>
  <si>
    <t>Scissor lift required</t>
  </si>
  <si>
    <t>Boom lift / crane / confined-space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</si>
</sst>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0" x14ac:knownFonts="1">
    <font>
      <sz val="12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0"/>
      <color rgb="FF1F1F1F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9"/>
      <color rgb="FF595959"/>
      <name val="Calibri"/>
      <family val="2"/>
      <scheme val="minor"/>
    </font>
    <font>
      <sz val="10"/>
      <color rgb="FF008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CE5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" fontId="5" fillId="4" borderId="0" xfId="0" applyNumberFormat="1" applyFont="1" applyFill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left" vertical="top"/>
    </xf>
    <xf numFmtId="2" fontId="5" fillId="4" borderId="0" xfId="0" applyNumberFormat="1" applyFont="1" applyFill="1" applyAlignment="1">
      <alignment horizontal="right" vertical="center"/>
    </xf>
    <xf numFmtId="2" fontId="6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7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workbookViewId="0">
      <selection sqref="A1:F1"/>
    </sheetView>
  </sheetViews>
  <sheetFormatPr defaultRowHeight="15.75" x14ac:dyDescent="0.5"/>
  <cols>
    <col min="1" max="1" width="28" customWidth="1"/>
    <col min="2" max="2" width="22" customWidth="1"/>
    <col min="3" max="6" width="18" customWidth="1"/>
  </cols>
  <sheetData>
    <row r="1" spans="1:6" ht="28.05" customHeight="1" x14ac:dyDescent="0.5">
      <c r="A1" s="18" t="s">
        <v>0</v>
      </c>
      <c r="B1" s="19"/>
      <c r="C1" s="19"/>
      <c r="D1" s="19"/>
      <c r="E1" s="19"/>
      <c r="F1" s="19"/>
    </row>
    <row r="2" spans="1:6" ht="24" customHeight="1" x14ac:dyDescent="0.5">
      <c r="A2" s="20" t="s">
        <v>1</v>
      </c>
      <c r="B2" s="19"/>
      <c r="C2" s="19"/>
      <c r="D2" s="19"/>
      <c r="E2" s="19"/>
      <c r="F2" s="19"/>
    </row>
    <row r="4" spans="1:6" ht="20" customHeight="1" x14ac:dyDescent="0.5">
      <c r="A4" s="21" t="s">
        <v>2</v>
      </c>
      <c r="B4" s="19"/>
      <c r="C4" s="19"/>
      <c r="D4" s="19"/>
      <c r="E4" s="19"/>
      <c r="F4" s="19"/>
    </row>
    <row r="5" spans="1:6" x14ac:dyDescent="0.5">
      <c r="A5" s="2" t="s">
        <v>3</v>
      </c>
      <c r="B5" s="3" t="s">
        <v>4</v>
      </c>
      <c r="C5" s="10" t="s">
        <v>5</v>
      </c>
    </row>
    <row r="6" spans="1:6" x14ac:dyDescent="0.5">
      <c r="A6" s="2" t="s">
        <v>6</v>
      </c>
      <c r="B6" s="3" t="s">
        <v>7</v>
      </c>
      <c r="C6" s="10" t="s">
        <v>8</v>
      </c>
    </row>
    <row r="7" spans="1:6" x14ac:dyDescent="0.5">
      <c r="A7" s="2" t="s">
        <v>9</v>
      </c>
      <c r="B7" s="7">
        <v>10</v>
      </c>
      <c r="C7" s="10" t="s">
        <v>10</v>
      </c>
    </row>
    <row r="8" spans="1:6" x14ac:dyDescent="0.5">
      <c r="A8" s="2" t="s">
        <v>11</v>
      </c>
      <c r="B8" s="7">
        <v>5000</v>
      </c>
      <c r="C8" s="10" t="s">
        <v>12</v>
      </c>
    </row>
    <row r="9" spans="1:6" x14ac:dyDescent="0.5">
      <c r="A9" s="2" t="s">
        <v>13</v>
      </c>
      <c r="B9" s="9">
        <v>0.5</v>
      </c>
      <c r="C9" s="10" t="s">
        <v>14</v>
      </c>
    </row>
    <row r="11" spans="1:6" ht="20" customHeight="1" x14ac:dyDescent="0.5">
      <c r="A11" s="21" t="s">
        <v>15</v>
      </c>
      <c r="B11" s="19"/>
      <c r="C11" s="19"/>
      <c r="D11" s="19"/>
      <c r="E11" s="19"/>
      <c r="F11" s="19"/>
    </row>
    <row r="12" spans="1:6" ht="18" customHeight="1" x14ac:dyDescent="0.5">
      <c r="A12" s="1" t="s">
        <v>16</v>
      </c>
      <c r="B12" s="1" t="s">
        <v>17</v>
      </c>
      <c r="C12" s="1" t="s">
        <v>18</v>
      </c>
    </row>
    <row r="13" spans="1:6" x14ac:dyDescent="0.5">
      <c r="A13" s="2" t="s">
        <v>7</v>
      </c>
      <c r="B13" s="6">
        <v>350</v>
      </c>
      <c r="C13" s="6">
        <v>650</v>
      </c>
    </row>
    <row r="14" spans="1:6" x14ac:dyDescent="0.5">
      <c r="A14" s="2" t="s">
        <v>19</v>
      </c>
      <c r="B14" s="6">
        <v>650</v>
      </c>
      <c r="C14" s="6">
        <v>1200</v>
      </c>
    </row>
    <row r="15" spans="1:6" x14ac:dyDescent="0.5">
      <c r="A15" s="2" t="s">
        <v>20</v>
      </c>
      <c r="B15" s="6">
        <v>1100</v>
      </c>
      <c r="C15" s="6">
        <v>2000</v>
      </c>
    </row>
    <row r="16" spans="1:6" x14ac:dyDescent="0.5">
      <c r="A16" s="20" t="s">
        <v>21</v>
      </c>
      <c r="B16" s="19"/>
      <c r="C16" s="19"/>
      <c r="D16" s="19"/>
      <c r="E16" s="19"/>
      <c r="F16" s="19"/>
    </row>
    <row r="18" spans="1:6" ht="20" customHeight="1" x14ac:dyDescent="0.5">
      <c r="A18" s="21" t="s">
        <v>22</v>
      </c>
      <c r="B18" s="19"/>
      <c r="C18" s="19"/>
      <c r="D18" s="19"/>
      <c r="E18" s="19"/>
      <c r="F18" s="19"/>
    </row>
    <row r="19" spans="1:6" x14ac:dyDescent="0.5">
      <c r="A19" s="22" t="s">
        <v>23</v>
      </c>
      <c r="B19" s="19"/>
      <c r="C19" s="19"/>
    </row>
    <row r="20" spans="1:6" x14ac:dyDescent="0.5">
      <c r="A20" s="1" t="s">
        <v>24</v>
      </c>
      <c r="B20" s="1" t="s">
        <v>25</v>
      </c>
      <c r="C20" s="1" t="s">
        <v>26</v>
      </c>
    </row>
    <row r="21" spans="1:6" x14ac:dyDescent="0.5">
      <c r="A21" s="7">
        <v>1</v>
      </c>
      <c r="B21" s="11">
        <v>1</v>
      </c>
      <c r="C21" s="10" t="s">
        <v>27</v>
      </c>
    </row>
    <row r="22" spans="1:6" x14ac:dyDescent="0.5">
      <c r="A22" s="7">
        <v>6</v>
      </c>
      <c r="B22" s="11">
        <v>1.25</v>
      </c>
      <c r="C22" s="10" t="s">
        <v>28</v>
      </c>
    </row>
    <row r="23" spans="1:6" x14ac:dyDescent="0.5">
      <c r="A23" s="7">
        <v>21</v>
      </c>
      <c r="B23" s="11">
        <v>1.5</v>
      </c>
      <c r="C23" s="10" t="s">
        <v>29</v>
      </c>
    </row>
    <row r="24" spans="1:6" x14ac:dyDescent="0.5">
      <c r="A24" s="7">
        <v>51</v>
      </c>
      <c r="B24" s="11">
        <v>1.75</v>
      </c>
      <c r="C24" s="10" t="s">
        <v>30</v>
      </c>
    </row>
    <row r="26" spans="1:6" x14ac:dyDescent="0.5">
      <c r="A26" s="2" t="s">
        <v>31</v>
      </c>
      <c r="B26" s="7">
        <v>10000</v>
      </c>
      <c r="C26" s="10" t="s">
        <v>32</v>
      </c>
    </row>
    <row r="27" spans="1:6" x14ac:dyDescent="0.5">
      <c r="A27" s="2" t="s">
        <v>33</v>
      </c>
      <c r="B27" s="11">
        <v>1</v>
      </c>
      <c r="C27" s="10" t="s">
        <v>34</v>
      </c>
    </row>
    <row r="28" spans="1:6" x14ac:dyDescent="0.5">
      <c r="A28" s="2" t="s">
        <v>35</v>
      </c>
      <c r="B28" s="3" t="s">
        <v>36</v>
      </c>
      <c r="C28" s="10" t="s">
        <v>37</v>
      </c>
    </row>
  </sheetData>
  <mergeCells count="7">
    <mergeCell ref="A18:F18"/>
    <mergeCell ref="A19:C19"/>
    <mergeCell ref="A1:F1"/>
    <mergeCell ref="A2:F2"/>
    <mergeCell ref="A4:F4"/>
    <mergeCell ref="A11:F11"/>
    <mergeCell ref="A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showGridLines="0" topLeftCell="A26" workbookViewId="0">
      <selection activeCell="C47" sqref="C47"/>
    </sheetView>
  </sheetViews>
  <sheetFormatPr defaultRowHeight="15.75" x14ac:dyDescent="0.5"/>
  <cols>
    <col min="1" max="1" width="40" customWidth="1"/>
    <col min="2" max="2" width="26" customWidth="1"/>
    <col min="3" max="3" width="10" customWidth="1"/>
    <col min="4" max="4" width="48" customWidth="1"/>
    <col min="5" max="6" width="12" customWidth="1"/>
  </cols>
  <sheetData>
    <row r="1" spans="1:6" ht="26" customHeight="1" x14ac:dyDescent="0.5">
      <c r="A1" s="18" t="s">
        <v>38</v>
      </c>
      <c r="B1" s="19"/>
      <c r="C1" s="19"/>
      <c r="D1" s="19"/>
      <c r="E1" s="19"/>
      <c r="F1" s="19"/>
    </row>
    <row r="2" spans="1:6" ht="22.05" customHeight="1" x14ac:dyDescent="0.5">
      <c r="A2" s="20" t="s">
        <v>39</v>
      </c>
      <c r="B2" s="19"/>
      <c r="C2" s="19"/>
      <c r="D2" s="19"/>
      <c r="E2" s="19"/>
      <c r="F2" s="19"/>
    </row>
    <row r="4" spans="1:6" ht="18" customHeight="1" x14ac:dyDescent="0.5">
      <c r="A4" s="21" t="s">
        <v>40</v>
      </c>
      <c r="B4" s="19"/>
      <c r="C4" s="19"/>
      <c r="D4" s="19"/>
      <c r="E4" s="19"/>
      <c r="F4" s="19"/>
    </row>
    <row r="5" spans="1:6" x14ac:dyDescent="0.5">
      <c r="A5" s="1" t="s">
        <v>41</v>
      </c>
      <c r="B5" s="1" t="s">
        <v>42</v>
      </c>
      <c r="C5" s="1" t="s">
        <v>43</v>
      </c>
      <c r="D5" s="1" t="s">
        <v>26</v>
      </c>
    </row>
    <row r="6" spans="1:6" x14ac:dyDescent="0.5">
      <c r="A6" s="2" t="s">
        <v>44</v>
      </c>
      <c r="B6" s="3" t="s">
        <v>45</v>
      </c>
      <c r="C6" s="8">
        <f>IF(B6="Yes",0,3)</f>
        <v>0</v>
      </c>
      <c r="D6" s="10" t="s">
        <v>46</v>
      </c>
    </row>
    <row r="7" spans="1:6" x14ac:dyDescent="0.5">
      <c r="A7" s="2" t="s">
        <v>47</v>
      </c>
      <c r="B7" s="3" t="s">
        <v>48</v>
      </c>
      <c r="C7" s="8">
        <f>IF(B7="Yes",2,0)</f>
        <v>0</v>
      </c>
      <c r="D7" s="10" t="s">
        <v>49</v>
      </c>
    </row>
    <row r="8" spans="1:6" x14ac:dyDescent="0.5">
      <c r="A8" s="2" t="s">
        <v>50</v>
      </c>
      <c r="B8" s="7">
        <v>65</v>
      </c>
      <c r="C8" s="8">
        <f>IF(B8&gt;80,2,0)</f>
        <v>0</v>
      </c>
      <c r="D8" s="10" t="s">
        <v>51</v>
      </c>
    </row>
    <row r="9" spans="1:6" x14ac:dyDescent="0.5">
      <c r="A9" s="2" t="s">
        <v>52</v>
      </c>
      <c r="B9" s="3" t="s">
        <v>45</v>
      </c>
      <c r="C9" s="8">
        <f>IF(B9="Yes",0,2)</f>
        <v>0</v>
      </c>
      <c r="D9" s="10" t="s">
        <v>53</v>
      </c>
    </row>
    <row r="11" spans="1:6" ht="18" customHeight="1" x14ac:dyDescent="0.5">
      <c r="A11" s="21" t="s">
        <v>54</v>
      </c>
      <c r="B11" s="19"/>
      <c r="C11" s="19"/>
      <c r="D11" s="19"/>
      <c r="E11" s="19"/>
      <c r="F11" s="19"/>
    </row>
    <row r="12" spans="1:6" x14ac:dyDescent="0.5">
      <c r="A12" s="1" t="s">
        <v>41</v>
      </c>
      <c r="B12" s="1" t="s">
        <v>42</v>
      </c>
      <c r="C12" s="1" t="s">
        <v>43</v>
      </c>
      <c r="D12" s="1" t="s">
        <v>26</v>
      </c>
    </row>
    <row r="13" spans="1:6" x14ac:dyDescent="0.5">
      <c r="A13" s="2" t="s">
        <v>55</v>
      </c>
      <c r="B13" s="3" t="s">
        <v>56</v>
      </c>
      <c r="C13" s="8">
        <f>IFERROR(VLOOKUP(B13,Lookups!A14:B19,2,FALSE),2)</f>
        <v>0</v>
      </c>
      <c r="D13" s="10" t="s">
        <v>57</v>
      </c>
    </row>
    <row r="14" spans="1:6" x14ac:dyDescent="0.5">
      <c r="A14" s="2" t="s">
        <v>58</v>
      </c>
      <c r="B14" s="3" t="s">
        <v>48</v>
      </c>
      <c r="C14" s="8">
        <f>IF(B14="Yes",1,0)</f>
        <v>0</v>
      </c>
      <c r="D14" s="10" t="s">
        <v>59</v>
      </c>
    </row>
    <row r="17" spans="1:6" ht="18" customHeight="1" x14ac:dyDescent="0.5">
      <c r="A17" s="21" t="s">
        <v>60</v>
      </c>
      <c r="B17" s="19"/>
      <c r="C17" s="19"/>
      <c r="D17" s="19"/>
      <c r="E17" s="19"/>
      <c r="F17" s="19"/>
    </row>
    <row r="18" spans="1:6" x14ac:dyDescent="0.5">
      <c r="A18" s="1" t="s">
        <v>41</v>
      </c>
      <c r="B18" s="1" t="s">
        <v>42</v>
      </c>
      <c r="C18" s="1" t="s">
        <v>43</v>
      </c>
      <c r="D18" s="1" t="s">
        <v>26</v>
      </c>
    </row>
    <row r="19" spans="1:6" x14ac:dyDescent="0.5">
      <c r="A19" s="2" t="s">
        <v>61</v>
      </c>
      <c r="B19" s="7">
        <v>15</v>
      </c>
      <c r="C19" s="8">
        <f>IF(B19="",0,IF(B19&lt;=10,0,IF(B19&lt;=25,1,IF(B19&lt;=40,2,IF(B19&lt;=60,3,4)))))</f>
        <v>1</v>
      </c>
      <c r="D19" s="10" t="s">
        <v>62</v>
      </c>
    </row>
    <row r="20" spans="1:6" x14ac:dyDescent="0.5">
      <c r="A20" s="2" t="s">
        <v>63</v>
      </c>
      <c r="B20" s="7">
        <v>8</v>
      </c>
      <c r="C20" s="8">
        <f>IF(B20="",0,IF(B20&lt;=10,0,IF(B20&lt;=25,1,IF(B20&lt;=40,2,IF(B20&lt;=60,3,4)))))</f>
        <v>0</v>
      </c>
      <c r="D20" s="10" t="s">
        <v>64</v>
      </c>
    </row>
    <row r="21" spans="1:6" x14ac:dyDescent="0.5">
      <c r="A21" s="2" t="s">
        <v>65</v>
      </c>
      <c r="B21" s="3" t="s">
        <v>45</v>
      </c>
      <c r="C21" s="8">
        <f>IF(B21="Yes",0,1)</f>
        <v>0</v>
      </c>
      <c r="D21" s="10" t="s">
        <v>66</v>
      </c>
    </row>
    <row r="22" spans="1:6" x14ac:dyDescent="0.5">
      <c r="A22" s="1" t="s">
        <v>67</v>
      </c>
      <c r="B22" s="1" t="s">
        <v>36</v>
      </c>
      <c r="C22" s="8">
        <f>IF(C19&gt;=C20,C19,C20)+C21</f>
        <v>1</v>
      </c>
      <c r="D22" s="10" t="s">
        <v>68</v>
      </c>
    </row>
    <row r="24" spans="1:6" ht="18" customHeight="1" x14ac:dyDescent="0.5">
      <c r="A24" s="21" t="s">
        <v>69</v>
      </c>
      <c r="B24" s="19"/>
      <c r="C24" s="19"/>
      <c r="D24" s="19"/>
      <c r="E24" s="19"/>
      <c r="F24" s="19"/>
    </row>
    <row r="25" spans="1:6" x14ac:dyDescent="0.5">
      <c r="A25" s="1" t="s">
        <v>41</v>
      </c>
      <c r="B25" s="1" t="s">
        <v>42</v>
      </c>
      <c r="C25" s="1" t="s">
        <v>43</v>
      </c>
      <c r="D25" s="1" t="s">
        <v>26</v>
      </c>
    </row>
    <row r="26" spans="1:6" x14ac:dyDescent="0.5">
      <c r="A26" s="2" t="s">
        <v>70</v>
      </c>
      <c r="B26" s="3" t="s">
        <v>71</v>
      </c>
      <c r="C26" s="8">
        <f>IFERROR(VLOOKUP(B26,Lookups!D14:E17,2,FALSE),2)</f>
        <v>0</v>
      </c>
      <c r="D26" s="10" t="s">
        <v>72</v>
      </c>
    </row>
    <row r="28" spans="1:6" ht="18" customHeight="1" x14ac:dyDescent="0.5">
      <c r="A28" s="21" t="s">
        <v>73</v>
      </c>
      <c r="B28" s="19"/>
      <c r="C28" s="19"/>
      <c r="D28" s="19"/>
      <c r="E28" s="19"/>
      <c r="F28" s="19"/>
    </row>
    <row r="29" spans="1:6" x14ac:dyDescent="0.5">
      <c r="A29" s="1" t="s">
        <v>41</v>
      </c>
      <c r="B29" s="1" t="s">
        <v>42</v>
      </c>
      <c r="C29" s="1" t="s">
        <v>43</v>
      </c>
      <c r="D29" s="1" t="s">
        <v>26</v>
      </c>
    </row>
    <row r="30" spans="1:6" x14ac:dyDescent="0.5">
      <c r="A30" s="2" t="s">
        <v>74</v>
      </c>
      <c r="B30" s="3" t="s">
        <v>75</v>
      </c>
      <c r="C30" s="8">
        <f>IFERROR(VLOOKUP(B30,Lookups!A23:B27,2,FALSE),0)</f>
        <v>0</v>
      </c>
    </row>
    <row r="31" spans="1:6" x14ac:dyDescent="0.5">
      <c r="A31" s="2" t="s">
        <v>76</v>
      </c>
      <c r="B31" s="3" t="s">
        <v>77</v>
      </c>
      <c r="C31" s="8">
        <f>IFERROR(VLOOKUP(B31,Lookups!D28:E31,2,FALSE),0)</f>
        <v>0</v>
      </c>
    </row>
    <row r="32" spans="1:6" x14ac:dyDescent="0.5">
      <c r="A32" s="2" t="s">
        <v>78</v>
      </c>
      <c r="B32" s="3" t="s">
        <v>79</v>
      </c>
      <c r="C32" s="8">
        <f>IFERROR(VLOOKUP(B32,Lookups!A31:B34,2,FALSE),0)</f>
        <v>0</v>
      </c>
    </row>
    <row r="33" spans="1:6" x14ac:dyDescent="0.5">
      <c r="A33" s="2" t="s">
        <v>80</v>
      </c>
      <c r="B33" s="7">
        <v>10</v>
      </c>
      <c r="C33" s="8">
        <f>IF(B33&lt;=10,0,IF(B33&lt;=30,1,IF(B33&lt;=60,2,3)))</f>
        <v>0</v>
      </c>
    </row>
    <row r="34" spans="1:6" x14ac:dyDescent="0.5">
      <c r="A34" s="1" t="s">
        <v>81</v>
      </c>
      <c r="B34" s="1"/>
      <c r="C34" s="8">
        <f>MIN(MAX(C30,C31,C32,C33),4)</f>
        <v>0</v>
      </c>
      <c r="D34" s="10" t="s">
        <v>82</v>
      </c>
    </row>
    <row r="36" spans="1:6" ht="18" customHeight="1" x14ac:dyDescent="0.5">
      <c r="A36" s="21" t="s">
        <v>83</v>
      </c>
      <c r="B36" s="19"/>
      <c r="C36" s="19"/>
      <c r="D36" s="19"/>
      <c r="E36" s="19"/>
      <c r="F36" s="19"/>
    </row>
    <row r="37" spans="1:6" x14ac:dyDescent="0.5">
      <c r="A37" s="1" t="s">
        <v>41</v>
      </c>
      <c r="B37" s="1" t="s">
        <v>42</v>
      </c>
      <c r="C37" s="1" t="s">
        <v>43</v>
      </c>
      <c r="D37" s="1" t="s">
        <v>26</v>
      </c>
    </row>
    <row r="38" spans="1:6" x14ac:dyDescent="0.5">
      <c r="A38" s="2" t="s">
        <v>84</v>
      </c>
      <c r="B38" s="3" t="s">
        <v>85</v>
      </c>
      <c r="C38" s="8">
        <f>IFERROR(VLOOKUP(B38,Lookups!D21:E24,2,FALSE),1)</f>
        <v>0</v>
      </c>
      <c r="D38" s="10" t="s">
        <v>86</v>
      </c>
    </row>
    <row r="41" spans="1:6" ht="18" customHeight="1" x14ac:dyDescent="0.5">
      <c r="A41" s="21" t="s">
        <v>87</v>
      </c>
      <c r="B41" s="19"/>
      <c r="C41" s="19"/>
      <c r="D41" s="19"/>
    </row>
    <row r="42" spans="1:6" x14ac:dyDescent="0.5">
      <c r="A42" s="2" t="s">
        <v>88</v>
      </c>
      <c r="B42" s="10" t="s">
        <v>89</v>
      </c>
      <c r="C42" s="8">
        <f>SUM(C6:C9,C13:C14,C22,C26,C34,C38)</f>
        <v>1</v>
      </c>
    </row>
    <row r="43" spans="1:6" x14ac:dyDescent="0.5">
      <c r="A43" s="2" t="s">
        <v>90</v>
      </c>
      <c r="C43" s="4" t="str">
        <f>IF(C42&lt;=2,"CPI-0",IF(C42&lt;=5,"CPI-1",IF(C42&lt;=8,"CPI-2",IF(C42&lt;=11,"CPI-3","CPI-4"))))</f>
        <v>CPI-0</v>
      </c>
    </row>
    <row r="44" spans="1:6" x14ac:dyDescent="0.5">
      <c r="A44" s="2" t="s">
        <v>91</v>
      </c>
      <c r="C44" s="12">
        <f>VLOOKUP(C43,Lookups!A6:B10,2,FALSE)</f>
        <v>1</v>
      </c>
    </row>
    <row r="46" spans="1:6" x14ac:dyDescent="0.5">
      <c r="A46" s="20" t="s">
        <v>92</v>
      </c>
      <c r="B46" s="19"/>
      <c r="C46" s="19"/>
      <c r="D46" s="19"/>
    </row>
  </sheetData>
  <mergeCells count="10">
    <mergeCell ref="A24:F24"/>
    <mergeCell ref="A28:F28"/>
    <mergeCell ref="A36:F36"/>
    <mergeCell ref="A41:D41"/>
    <mergeCell ref="A46:D46"/>
    <mergeCell ref="A1:F1"/>
    <mergeCell ref="A2:F2"/>
    <mergeCell ref="A4:F4"/>
    <mergeCell ref="A11:F11"/>
    <mergeCell ref="A17:F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showGridLines="0" topLeftCell="A14" workbookViewId="0">
      <selection activeCell="B30" sqref="B30"/>
    </sheetView>
  </sheetViews>
  <sheetFormatPr defaultRowHeight="15.75" x14ac:dyDescent="0.5"/>
  <cols>
    <col min="1" max="1" width="30" customWidth="1"/>
    <col min="2" max="3" width="20" customWidth="1"/>
    <col min="4" max="5" width="18" customWidth="1"/>
  </cols>
  <sheetData>
    <row r="1" spans="1:5" ht="26" customHeight="1" x14ac:dyDescent="0.5">
      <c r="A1" s="18" t="s">
        <v>93</v>
      </c>
      <c r="B1" s="19"/>
      <c r="C1" s="19"/>
      <c r="D1" s="19"/>
      <c r="E1" s="19"/>
    </row>
    <row r="2" spans="1:5" ht="22.05" customHeight="1" x14ac:dyDescent="0.5">
      <c r="A2" s="20" t="s">
        <v>94</v>
      </c>
      <c r="B2" s="19"/>
      <c r="C2" s="19"/>
      <c r="D2" s="19"/>
      <c r="E2" s="19"/>
    </row>
    <row r="4" spans="1:5" ht="18" customHeight="1" x14ac:dyDescent="0.5">
      <c r="A4" s="21" t="s">
        <v>95</v>
      </c>
      <c r="B4" s="19"/>
      <c r="C4" s="19"/>
      <c r="D4" s="19"/>
      <c r="E4" s="19"/>
    </row>
    <row r="5" spans="1:5" x14ac:dyDescent="0.5">
      <c r="A5" s="2" t="s">
        <v>96</v>
      </c>
      <c r="B5" s="13" t="str">
        <f>Inputs!B5</f>
        <v>Residential</v>
      </c>
    </row>
    <row r="6" spans="1:5" x14ac:dyDescent="0.5">
      <c r="A6" s="2" t="s">
        <v>97</v>
      </c>
      <c r="B6" s="13" t="str">
        <f>Inputs!B6</f>
        <v>Essentials</v>
      </c>
    </row>
    <row r="7" spans="1:5" x14ac:dyDescent="0.5">
      <c r="A7" s="2" t="s">
        <v>98</v>
      </c>
      <c r="B7" s="14">
        <f>Inputs!B7</f>
        <v>10</v>
      </c>
    </row>
    <row r="8" spans="1:5" x14ac:dyDescent="0.5">
      <c r="A8" s="2" t="s">
        <v>99</v>
      </c>
      <c r="B8" s="14">
        <f>Inputs!B8</f>
        <v>5000</v>
      </c>
    </row>
    <row r="9" spans="1:5" x14ac:dyDescent="0.5">
      <c r="A9" s="2" t="s">
        <v>100</v>
      </c>
      <c r="B9" s="16">
        <f>Inputs!B9</f>
        <v>0.5</v>
      </c>
    </row>
    <row r="10" spans="1:5" x14ac:dyDescent="0.5">
      <c r="A10" s="2" t="s">
        <v>88</v>
      </c>
      <c r="B10" s="14">
        <f>CPI_Scoring!C42</f>
        <v>1</v>
      </c>
    </row>
    <row r="11" spans="1:5" x14ac:dyDescent="0.5">
      <c r="A11" s="2" t="s">
        <v>90</v>
      </c>
      <c r="B11" s="13" t="str">
        <f>CPI_Scoring!C43</f>
        <v>CPI-0</v>
      </c>
    </row>
    <row r="12" spans="1:5" x14ac:dyDescent="0.5">
      <c r="A12" s="2" t="s">
        <v>91</v>
      </c>
      <c r="B12" s="15">
        <f>CPI_Scoring!C44</f>
        <v>1</v>
      </c>
    </row>
    <row r="14" spans="1:5" ht="18" customHeight="1" x14ac:dyDescent="0.5">
      <c r="A14" s="21" t="s">
        <v>101</v>
      </c>
      <c r="B14" s="19"/>
      <c r="C14" s="19"/>
      <c r="D14" s="19"/>
      <c r="E14" s="19"/>
    </row>
    <row r="15" spans="1:5" x14ac:dyDescent="0.5">
      <c r="A15" s="2" t="s">
        <v>102</v>
      </c>
      <c r="B15" s="5">
        <f>IF(B5="Residential",VLOOKUP(B6,Inputs!A13:C15,2,FALSE),IF(B5="Commercial",VLOOKUP(B6,Inputs!A13:C15,3,FALSE),(1-Inputs!B9)*VLOOKUP(B6,Inputs!A13:C15,2,FALSE)+Inputs!B9*VLOOKUP(B6,Inputs!A13:C15,3,FALSE)))</f>
        <v>350</v>
      </c>
    </row>
    <row r="16" spans="1:5" x14ac:dyDescent="0.5">
      <c r="A16" s="2" t="s">
        <v>25</v>
      </c>
      <c r="B16" s="12">
        <f>IF(B7="",1,IF(B7&lt;=5,Inputs!B21,IF(B7&lt;=20,Inputs!B22,IF(B7&lt;=50,Inputs!B23,Inputs!B24))))</f>
        <v>1.25</v>
      </c>
    </row>
    <row r="17" spans="1:5" x14ac:dyDescent="0.5">
      <c r="A17" s="2" t="s">
        <v>103</v>
      </c>
      <c r="B17" s="12">
        <f>IF(Inputs!B28="",IF(IF(B8="",Inputs!B27,B8/Inputs!B26)&lt;Inputs!B27,Inputs!B27,IF(B8="",Inputs!B27,B8/Inputs!B26)),IF(IF(IF(B8="",Inputs!B27,B8/Inputs!B26)&lt;Inputs!B27,Inputs!B27,IF(B8="",Inputs!B27,B8/Inputs!B26))&gt;Inputs!B28,Inputs!B28,IF(IF(B8="",Inputs!B27,B8/Inputs!B26)&lt;Inputs!B27,Inputs!B27,IF(B8="",Inputs!B27,B8/Inputs!B26))))</f>
        <v>1</v>
      </c>
    </row>
    <row r="18" spans="1:5" x14ac:dyDescent="0.5">
      <c r="A18" s="2" t="s">
        <v>104</v>
      </c>
      <c r="B18" s="12">
        <f>IF(B5="Residential",B16,IF(B5="Commercial",B17,(1-Inputs!B9)*B16+Inputs!B9*B17))</f>
        <v>1.25</v>
      </c>
    </row>
    <row r="20" spans="1:5" ht="18" customHeight="1" x14ac:dyDescent="0.5">
      <c r="A20" s="21" t="s">
        <v>105</v>
      </c>
      <c r="B20" s="19"/>
      <c r="C20" s="19"/>
      <c r="D20" s="19"/>
      <c r="E20" s="19"/>
    </row>
    <row r="21" spans="1:5" x14ac:dyDescent="0.5">
      <c r="A21" s="2" t="s">
        <v>106</v>
      </c>
      <c r="B21" s="17">
        <f>B15*B18*B12</f>
        <v>437.5</v>
      </c>
    </row>
    <row r="22" spans="1:5" x14ac:dyDescent="0.5">
      <c r="A22" s="2" t="s">
        <v>107</v>
      </c>
      <c r="B22" s="5">
        <f>B21*12</f>
        <v>5250</v>
      </c>
    </row>
    <row r="24" spans="1:5" x14ac:dyDescent="0.5">
      <c r="A24" s="20" t="s">
        <v>108</v>
      </c>
      <c r="B24" s="19"/>
      <c r="C24" s="19"/>
      <c r="D24" s="19"/>
      <c r="E24" s="19"/>
    </row>
  </sheetData>
  <mergeCells count="6">
    <mergeCell ref="A24:E24"/>
    <mergeCell ref="A1:E1"/>
    <mergeCell ref="A2:E2"/>
    <mergeCell ref="A4:E4"/>
    <mergeCell ref="A14:E14"/>
    <mergeCell ref="A20:E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showGridLines="0" tabSelected="1" topLeftCell="A20" workbookViewId="0">
      <selection activeCell="B42" sqref="B42"/>
    </sheetView>
  </sheetViews>
  <sheetFormatPr defaultRowHeight="15.75" x14ac:dyDescent="0.5"/>
  <cols>
    <col min="1" max="1" width="38" customWidth="1"/>
    <col min="2" max="2" width="14" customWidth="1"/>
    <col min="3" max="3" width="18" customWidth="1"/>
    <col min="4" max="4" width="42" customWidth="1"/>
    <col min="5" max="5" width="10" customWidth="1"/>
  </cols>
  <sheetData>
    <row r="1" spans="1:5" ht="24" customHeight="1" x14ac:dyDescent="0.5">
      <c r="A1" s="18" t="s">
        <v>109</v>
      </c>
      <c r="B1" s="19"/>
      <c r="C1" s="19"/>
      <c r="D1" s="19"/>
      <c r="E1" s="19"/>
    </row>
    <row r="2" spans="1:5" ht="22.05" customHeight="1" x14ac:dyDescent="0.5">
      <c r="A2" s="20" t="s">
        <v>110</v>
      </c>
      <c r="B2" s="19"/>
      <c r="C2" s="19"/>
      <c r="D2" s="19"/>
      <c r="E2" s="19"/>
    </row>
    <row r="4" spans="1:5" ht="18" customHeight="1" x14ac:dyDescent="0.5">
      <c r="A4" s="21" t="s">
        <v>111</v>
      </c>
      <c r="B4" s="19"/>
      <c r="D4" s="21" t="s">
        <v>112</v>
      </c>
      <c r="E4" s="19"/>
    </row>
    <row r="5" spans="1:5" x14ac:dyDescent="0.5">
      <c r="A5" s="1" t="s">
        <v>90</v>
      </c>
      <c r="B5" s="1" t="s">
        <v>113</v>
      </c>
      <c r="D5" s="1" t="s">
        <v>114</v>
      </c>
      <c r="E5" s="1" t="s">
        <v>43</v>
      </c>
    </row>
    <row r="6" spans="1:5" x14ac:dyDescent="0.5">
      <c r="A6" s="2" t="s">
        <v>115</v>
      </c>
      <c r="B6" s="12">
        <v>1</v>
      </c>
      <c r="D6" s="8">
        <v>0</v>
      </c>
      <c r="E6" s="8">
        <v>0</v>
      </c>
    </row>
    <row r="7" spans="1:5" x14ac:dyDescent="0.5">
      <c r="A7" s="2" t="s">
        <v>116</v>
      </c>
      <c r="B7" s="12">
        <v>1.08</v>
      </c>
      <c r="D7" s="8">
        <v>11</v>
      </c>
      <c r="E7" s="8">
        <v>1</v>
      </c>
    </row>
    <row r="8" spans="1:5" x14ac:dyDescent="0.5">
      <c r="A8" s="2" t="s">
        <v>117</v>
      </c>
      <c r="B8" s="12">
        <v>1.18</v>
      </c>
      <c r="D8" s="8">
        <v>26</v>
      </c>
      <c r="E8" s="8">
        <v>2</v>
      </c>
    </row>
    <row r="9" spans="1:5" x14ac:dyDescent="0.5">
      <c r="A9" s="2" t="s">
        <v>118</v>
      </c>
      <c r="B9" s="12">
        <v>1.35</v>
      </c>
      <c r="D9" s="8">
        <v>41</v>
      </c>
      <c r="E9" s="8">
        <v>3</v>
      </c>
    </row>
    <row r="10" spans="1:5" x14ac:dyDescent="0.5">
      <c r="A10" s="2" t="s">
        <v>119</v>
      </c>
      <c r="B10" s="12">
        <v>1.55</v>
      </c>
      <c r="D10" s="8">
        <v>61</v>
      </c>
      <c r="E10" s="8">
        <v>4</v>
      </c>
    </row>
    <row r="12" spans="1:5" ht="18" customHeight="1" x14ac:dyDescent="0.5">
      <c r="A12" s="21" t="s">
        <v>120</v>
      </c>
      <c r="B12" s="19"/>
      <c r="D12" s="21" t="s">
        <v>121</v>
      </c>
      <c r="E12" s="19"/>
    </row>
    <row r="13" spans="1:5" x14ac:dyDescent="0.5">
      <c r="A13" s="1" t="s">
        <v>122</v>
      </c>
      <c r="B13" s="1" t="s">
        <v>43</v>
      </c>
      <c r="D13" s="1" t="s">
        <v>123</v>
      </c>
      <c r="E13" s="1" t="s">
        <v>43</v>
      </c>
    </row>
    <row r="14" spans="1:5" x14ac:dyDescent="0.5">
      <c r="A14" s="2" t="s">
        <v>56</v>
      </c>
      <c r="B14" s="8">
        <v>0</v>
      </c>
      <c r="D14" s="2" t="s">
        <v>71</v>
      </c>
      <c r="E14" s="8">
        <v>0</v>
      </c>
    </row>
    <row r="15" spans="1:5" x14ac:dyDescent="0.5">
      <c r="A15" s="2" t="s">
        <v>124</v>
      </c>
      <c r="B15" s="8">
        <v>1</v>
      </c>
      <c r="D15" s="2" t="s">
        <v>125</v>
      </c>
      <c r="E15" s="8">
        <v>1</v>
      </c>
    </row>
    <row r="16" spans="1:5" x14ac:dyDescent="0.5">
      <c r="A16" s="2" t="s">
        <v>126</v>
      </c>
      <c r="B16" s="8">
        <v>2</v>
      </c>
      <c r="D16" s="2" t="s">
        <v>127</v>
      </c>
      <c r="E16" s="8">
        <v>2</v>
      </c>
    </row>
    <row r="17" spans="1:5" x14ac:dyDescent="0.5">
      <c r="A17" s="2" t="s">
        <v>128</v>
      </c>
      <c r="B17" s="8">
        <v>3</v>
      </c>
      <c r="D17" s="2" t="s">
        <v>129</v>
      </c>
      <c r="E17" s="8">
        <v>3</v>
      </c>
    </row>
    <row r="18" spans="1:5" x14ac:dyDescent="0.5">
      <c r="A18" s="2" t="s">
        <v>130</v>
      </c>
      <c r="B18" s="8">
        <v>4</v>
      </c>
    </row>
    <row r="19" spans="1:5" ht="18" customHeight="1" x14ac:dyDescent="0.5">
      <c r="A19" s="2" t="s">
        <v>131</v>
      </c>
      <c r="B19" s="8">
        <v>2</v>
      </c>
      <c r="D19" s="21" t="s">
        <v>132</v>
      </c>
      <c r="E19" s="19"/>
    </row>
    <row r="20" spans="1:5" x14ac:dyDescent="0.5">
      <c r="D20" s="1" t="s">
        <v>123</v>
      </c>
      <c r="E20" s="1" t="s">
        <v>43</v>
      </c>
    </row>
    <row r="21" spans="1:5" ht="18" customHeight="1" x14ac:dyDescent="0.5">
      <c r="A21" s="21" t="s">
        <v>133</v>
      </c>
      <c r="B21" s="19"/>
      <c r="D21" s="2" t="s">
        <v>85</v>
      </c>
      <c r="E21" s="8">
        <v>0</v>
      </c>
    </row>
    <row r="22" spans="1:5" x14ac:dyDescent="0.5">
      <c r="A22" s="1" t="s">
        <v>123</v>
      </c>
      <c r="B22" s="1" t="s">
        <v>43</v>
      </c>
      <c r="D22" s="2" t="s">
        <v>134</v>
      </c>
      <c r="E22" s="8">
        <v>1</v>
      </c>
    </row>
    <row r="23" spans="1:5" x14ac:dyDescent="0.5">
      <c r="A23" s="2" t="s">
        <v>75</v>
      </c>
      <c r="B23" s="8">
        <v>0</v>
      </c>
      <c r="D23" s="2" t="s">
        <v>135</v>
      </c>
      <c r="E23" s="8">
        <v>2</v>
      </c>
    </row>
    <row r="24" spans="1:5" x14ac:dyDescent="0.5">
      <c r="A24" s="2" t="s">
        <v>136</v>
      </c>
      <c r="B24" s="8">
        <v>1</v>
      </c>
      <c r="D24" s="2" t="s">
        <v>137</v>
      </c>
      <c r="E24" s="8">
        <v>3</v>
      </c>
    </row>
    <row r="25" spans="1:5" x14ac:dyDescent="0.5">
      <c r="A25" s="2" t="s">
        <v>138</v>
      </c>
      <c r="B25" s="8">
        <v>2</v>
      </c>
    </row>
    <row r="26" spans="1:5" ht="18" customHeight="1" x14ac:dyDescent="0.5">
      <c r="A26" s="2" t="s">
        <v>139</v>
      </c>
      <c r="B26" s="8">
        <v>3</v>
      </c>
      <c r="D26" s="21" t="s">
        <v>140</v>
      </c>
      <c r="E26" s="19"/>
    </row>
    <row r="27" spans="1:5" x14ac:dyDescent="0.5">
      <c r="A27" s="2" t="s">
        <v>141</v>
      </c>
      <c r="B27" s="8">
        <v>4</v>
      </c>
      <c r="D27" s="1" t="s">
        <v>123</v>
      </c>
      <c r="E27" s="1" t="s">
        <v>43</v>
      </c>
    </row>
    <row r="28" spans="1:5" x14ac:dyDescent="0.5">
      <c r="D28" s="2" t="s">
        <v>77</v>
      </c>
      <c r="E28" s="8">
        <v>0</v>
      </c>
    </row>
    <row r="29" spans="1:5" ht="18" customHeight="1" x14ac:dyDescent="0.5">
      <c r="A29" s="21" t="s">
        <v>142</v>
      </c>
      <c r="B29" s="19"/>
      <c r="D29" s="2" t="s">
        <v>143</v>
      </c>
      <c r="E29" s="8">
        <v>1</v>
      </c>
    </row>
    <row r="30" spans="1:5" x14ac:dyDescent="0.5">
      <c r="A30" s="1" t="s">
        <v>144</v>
      </c>
      <c r="B30" s="1" t="s">
        <v>43</v>
      </c>
      <c r="D30" s="2" t="s">
        <v>145</v>
      </c>
      <c r="E30" s="8">
        <v>2</v>
      </c>
    </row>
    <row r="31" spans="1:5" x14ac:dyDescent="0.5">
      <c r="A31" s="2" t="s">
        <v>79</v>
      </c>
      <c r="B31" s="8">
        <v>0</v>
      </c>
      <c r="D31" s="2" t="s">
        <v>146</v>
      </c>
      <c r="E31" s="8">
        <v>3</v>
      </c>
    </row>
    <row r="32" spans="1:5" x14ac:dyDescent="0.5">
      <c r="A32" s="2" t="s">
        <v>147</v>
      </c>
      <c r="B32" s="8">
        <v>1</v>
      </c>
    </row>
    <row r="33" spans="1:2" x14ac:dyDescent="0.5">
      <c r="A33" s="2" t="s">
        <v>148</v>
      </c>
      <c r="B33" s="8">
        <v>2</v>
      </c>
    </row>
    <row r="34" spans="1:2" x14ac:dyDescent="0.5">
      <c r="A34" s="2" t="s">
        <v>149</v>
      </c>
      <c r="B34" s="8">
        <v>3</v>
      </c>
    </row>
  </sheetData>
  <mergeCells count="10">
    <mergeCell ref="D19:E19"/>
    <mergeCell ref="A21:B21"/>
    <mergeCell ref="D26:E26"/>
    <mergeCell ref="A29:B29"/>
    <mergeCell ref="A1:E1"/>
    <mergeCell ref="A2:E2"/>
    <mergeCell ref="A4:B4"/>
    <mergeCell ref="A12:B12"/>
    <mergeCell ref="D4:E4"/>
    <mergeCell ref="D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CPI_Scoring</vt:lpstr>
      <vt:lpstr>Calculator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Gubiotti</dc:creator>
  <cp:lastModifiedBy>Edith Gubiotti</cp:lastModifiedBy>
  <dcterms:created xsi:type="dcterms:W3CDTF">2025-12-21T02:41:22Z</dcterms:created>
  <dcterms:modified xsi:type="dcterms:W3CDTF">2025-12-21T02:41:22Z</dcterms:modified>
</cp:coreProperties>
</file>